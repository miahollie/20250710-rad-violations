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hollie/the-city-data/2025/20250710-rad-violations/output/"/>
    </mc:Choice>
  </mc:AlternateContent>
  <xr:revisionPtr revIDLastSave="0" documentId="13_ncr:1_{D32489A5-ECDE-6447-B602-71586A817193}" xr6:coauthVersionLast="47" xr6:coauthVersionMax="47" xr10:uidLastSave="{00000000-0000-0000-0000-000000000000}"/>
  <bookViews>
    <workbookView xWindow="220" yWindow="2060" windowWidth="16500" windowHeight="17440" activeTab="1" xr2:uid="{259D0113-877D-654A-989A-7A1B537661ED}"/>
  </bookViews>
  <sheets>
    <sheet name="Sheet1" sheetId="2" r:id="rId1"/>
    <sheet name="Sheet2" sheetId="3" r:id="rId2"/>
    <sheet name="for_graphic" sheetId="4" r:id="rId3"/>
    <sheet name="testing_standards" sheetId="1" r:id="rId4"/>
  </sheets>
  <calcPr calcId="191029"/>
  <pivotCaches>
    <pivotCache cacheId="4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3" l="1"/>
</calcChain>
</file>

<file path=xl/sharedStrings.xml><?xml version="1.0" encoding="utf-8"?>
<sst xmlns="http://schemas.openxmlformats.org/spreadsheetml/2006/main" count="72" uniqueCount="56">
  <si>
    <t>yr_post_conversion</t>
  </si>
  <si>
    <t>dec_12_24</t>
  </si>
  <si>
    <t>jun_26_24</t>
  </si>
  <si>
    <t>sept_26_24</t>
  </si>
  <si>
    <t>jan_10_23</t>
  </si>
  <si>
    <t>nov_28_2023</t>
  </si>
  <si>
    <t>jun_27_23</t>
  </si>
  <si>
    <t>feb_17_22</t>
  </si>
  <si>
    <t>dec_28_21</t>
  </si>
  <si>
    <t>feb_12_20</t>
  </si>
  <si>
    <t>nov_30_20</t>
  </si>
  <si>
    <t>jul_18_19</t>
  </si>
  <si>
    <t>dec_27_18</t>
  </si>
  <si>
    <t>oct_31_18</t>
  </si>
  <si>
    <t>nov_16_18</t>
  </si>
  <si>
    <t>nov_30_18</t>
  </si>
  <si>
    <t>dec_31_16</t>
  </si>
  <si>
    <t>Row Labels</t>
  </si>
  <si>
    <t>Grand Total</t>
  </si>
  <si>
    <t>Sum of dec_12_24</t>
  </si>
  <si>
    <t>Sum of jun_26_24</t>
  </si>
  <si>
    <t>Sum of sept_26_24</t>
  </si>
  <si>
    <t>Sum of jan_10_23</t>
  </si>
  <si>
    <t>Sum of nov_28_2023</t>
  </si>
  <si>
    <t>Sum of jun_27_23</t>
  </si>
  <si>
    <t>Sum of feb_17_22</t>
  </si>
  <si>
    <t>Sum of dec_28_21</t>
  </si>
  <si>
    <t>Sum of feb_12_20</t>
  </si>
  <si>
    <t>Sum of nov_30_20</t>
  </si>
  <si>
    <t>Sum of jul_18_19</t>
  </si>
  <si>
    <t>Sum of dec_27_18</t>
  </si>
  <si>
    <t>Sum of oct_31_18</t>
  </si>
  <si>
    <t>Sum of nov_16_18</t>
  </si>
  <si>
    <t>Sum of nov_30_18</t>
  </si>
  <si>
    <t>Sum of dec_31_16</t>
  </si>
  <si>
    <t>total</t>
  </si>
  <si>
    <t>year</t>
  </si>
  <si>
    <t>Transfer Date</t>
  </si>
  <si>
    <t>First Year in Program</t>
  </si>
  <si>
    <t>Latest Year in Program</t>
  </si>
  <si>
    <t>December 31, 2016</t>
  </si>
  <si>
    <t>November 30, 2018</t>
  </si>
  <si>
    <t>November 16, 2018</t>
  </si>
  <si>
    <t>October 31, 2018</t>
  </si>
  <si>
    <t>December 27, 2018</t>
  </si>
  <si>
    <t>November 30, 2020</t>
  </si>
  <si>
    <t>February 12, 2020</t>
  </si>
  <si>
    <t>December 28, 2021</t>
  </si>
  <si>
    <t>February 17, 2022</t>
  </si>
  <si>
    <t>June 27, 2023</t>
  </si>
  <si>
    <t>November 28, 2023</t>
  </si>
  <si>
    <t>January 10, 2023</t>
  </si>
  <si>
    <t xml:space="preserve">note: the latest transfer to occur has only one year of data so far and is not counted in the grahpic. </t>
  </si>
  <si>
    <t>July 18, 2019</t>
  </si>
  <si>
    <t>transfer_date</t>
  </si>
  <si>
    <t>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</si>
</sst>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49" fontId="0" fillId="0" borderId="0" xfId="0" applyNumberFormat="1"/>
    <xf numFmtId="0" fontId="0" fillId="34" borderId="0" xfId="0" applyFill="1"/>
    <xf numFmtId="16" fontId="0" fillId="0" borderId="0" xfId="0" applyNumberFormat="1"/>
    <xf numFmtId="0" fontId="18" fillId="0" borderId="0" xfId="0" applyFont="1"/>
    <xf numFmtId="0" fontId="19" fillId="0" borderId="0" xfId="0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a Hollie" refreshedDate="45985.604650231478" createdVersion="8" refreshedVersion="8" minRefreshableVersion="3" recordCount="77" xr:uid="{DF6E5630-B6E4-624F-9FCC-7AFC7F5B63CD}">
  <cacheSource type="worksheet">
    <worksheetSource ref="B1:R78" sheet="testing_standards"/>
  </cacheSource>
  <cacheFields count="17">
    <cacheField name="yr_post_conversion" numFmtId="0">
      <sharedItems containsSemiMixedTypes="0" containsString="0" containsNumber="1" containsInteger="1" minValue="0" maxValue="8" count="9">
        <n v="0"/>
        <n v="1"/>
        <n v="2"/>
        <n v="3"/>
        <n v="5"/>
        <n v="4"/>
        <n v="6"/>
        <n v="7"/>
        <n v="8"/>
      </sharedItems>
    </cacheField>
    <cacheField name="dec_12_24" numFmtId="0">
      <sharedItems containsString="0" containsBlank="1" containsNumber="1" containsInteger="1" minValue="342" maxValue="342"/>
    </cacheField>
    <cacheField name="jun_26_24" numFmtId="0">
      <sharedItems containsString="0" containsBlank="1" containsNumber="1" containsInteger="1" minValue="170" maxValue="296"/>
    </cacheField>
    <cacheField name="sept_26_24" numFmtId="0">
      <sharedItems containsString="0" containsBlank="1" containsNumber="1" containsInteger="1" minValue="109" maxValue="803"/>
    </cacheField>
    <cacheField name="jan_10_23" numFmtId="0">
      <sharedItems containsString="0" containsBlank="1" containsNumber="1" containsInteger="1" minValue="15" maxValue="73"/>
    </cacheField>
    <cacheField name="nov_28_2023" numFmtId="0">
      <sharedItems containsString="0" containsBlank="1" containsNumber="1" containsInteger="1" minValue="1197" maxValue="1263"/>
    </cacheField>
    <cacheField name="jun_27_23" numFmtId="0">
      <sharedItems containsString="0" containsBlank="1" containsNumber="1" containsInteger="1" minValue="52" maxValue="293"/>
    </cacheField>
    <cacheField name="feb_17_22" numFmtId="0">
      <sharedItems containsString="0" containsBlank="1" containsNumber="1" containsInteger="1" minValue="63" maxValue="281"/>
    </cacheField>
    <cacheField name="dec_28_21" numFmtId="0">
      <sharedItems containsString="0" containsBlank="1" containsNumber="1" containsInteger="1" minValue="505" maxValue="984"/>
    </cacheField>
    <cacheField name="feb_12_20" numFmtId="0">
      <sharedItems containsString="0" containsBlank="1" containsNumber="1" containsInteger="1" minValue="48" maxValue="452"/>
    </cacheField>
    <cacheField name="nov_30_20" numFmtId="0">
      <sharedItems containsString="0" containsBlank="1" containsNumber="1" containsInteger="1" minValue="236" maxValue="411"/>
    </cacheField>
    <cacheField name="jul_18_19" numFmtId="0">
      <sharedItems containsString="0" containsBlank="1" containsNumber="1" containsInteger="1" minValue="63" maxValue="310"/>
    </cacheField>
    <cacheField name="dec_27_18" numFmtId="0">
      <sharedItems containsString="0" containsBlank="1" containsNumber="1" containsInteger="1" minValue="12" maxValue="82"/>
    </cacheField>
    <cacheField name="oct_31_18" numFmtId="0">
      <sharedItems containsString="0" containsBlank="1" containsNumber="1" containsInteger="1" minValue="1" maxValue="41"/>
    </cacheField>
    <cacheField name="nov_16_18" numFmtId="0">
      <sharedItems containsString="0" containsBlank="1" containsNumber="1" containsInteger="1" minValue="59" maxValue="334"/>
    </cacheField>
    <cacheField name="nov_30_18" numFmtId="0">
      <sharedItems containsString="0" containsBlank="1" containsNumber="1" containsInteger="1" minValue="1" maxValue="44"/>
    </cacheField>
    <cacheField name="dec_31_16" numFmtId="0">
      <sharedItems containsString="0" containsBlank="1" containsNumber="1" containsInteger="1" minValue="3" maxValue="1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n v="342"/>
    <m/>
    <m/>
    <m/>
    <m/>
    <m/>
    <m/>
    <m/>
    <m/>
    <m/>
    <m/>
    <m/>
    <m/>
    <m/>
    <m/>
    <m/>
  </r>
  <r>
    <x v="0"/>
    <m/>
    <n v="296"/>
    <m/>
    <m/>
    <m/>
    <m/>
    <m/>
    <m/>
    <m/>
    <m/>
    <m/>
    <m/>
    <m/>
    <m/>
    <m/>
    <m/>
  </r>
  <r>
    <x v="1"/>
    <m/>
    <n v="170"/>
    <m/>
    <m/>
    <m/>
    <m/>
    <m/>
    <m/>
    <m/>
    <m/>
    <m/>
    <m/>
    <m/>
    <m/>
    <m/>
    <m/>
  </r>
  <r>
    <x v="0"/>
    <m/>
    <m/>
    <n v="803"/>
    <m/>
    <m/>
    <m/>
    <m/>
    <m/>
    <m/>
    <m/>
    <m/>
    <m/>
    <m/>
    <m/>
    <m/>
    <m/>
  </r>
  <r>
    <x v="1"/>
    <m/>
    <m/>
    <n v="109"/>
    <m/>
    <m/>
    <m/>
    <m/>
    <m/>
    <m/>
    <m/>
    <m/>
    <m/>
    <m/>
    <m/>
    <m/>
    <m/>
  </r>
  <r>
    <x v="1"/>
    <m/>
    <m/>
    <m/>
    <n v="73"/>
    <m/>
    <m/>
    <m/>
    <m/>
    <m/>
    <m/>
    <m/>
    <m/>
    <m/>
    <m/>
    <m/>
    <m/>
  </r>
  <r>
    <x v="0"/>
    <m/>
    <m/>
    <m/>
    <n v="52"/>
    <m/>
    <m/>
    <m/>
    <m/>
    <m/>
    <m/>
    <m/>
    <m/>
    <m/>
    <m/>
    <m/>
    <m/>
  </r>
  <r>
    <x v="2"/>
    <m/>
    <m/>
    <m/>
    <n v="15"/>
    <m/>
    <m/>
    <m/>
    <m/>
    <m/>
    <m/>
    <m/>
    <m/>
    <m/>
    <m/>
    <m/>
    <m/>
  </r>
  <r>
    <x v="0"/>
    <m/>
    <m/>
    <m/>
    <m/>
    <n v="1263"/>
    <m/>
    <m/>
    <m/>
    <m/>
    <m/>
    <m/>
    <m/>
    <m/>
    <m/>
    <m/>
    <m/>
  </r>
  <r>
    <x v="1"/>
    <m/>
    <m/>
    <m/>
    <m/>
    <n v="1197"/>
    <m/>
    <m/>
    <m/>
    <m/>
    <m/>
    <m/>
    <m/>
    <m/>
    <m/>
    <m/>
    <m/>
  </r>
  <r>
    <x v="0"/>
    <m/>
    <m/>
    <m/>
    <m/>
    <m/>
    <n v="293"/>
    <m/>
    <m/>
    <m/>
    <m/>
    <m/>
    <m/>
    <m/>
    <m/>
    <m/>
    <m/>
  </r>
  <r>
    <x v="1"/>
    <m/>
    <m/>
    <m/>
    <m/>
    <m/>
    <n v="235"/>
    <m/>
    <m/>
    <m/>
    <m/>
    <m/>
    <m/>
    <m/>
    <m/>
    <m/>
    <m/>
  </r>
  <r>
    <x v="2"/>
    <m/>
    <m/>
    <m/>
    <m/>
    <m/>
    <n v="52"/>
    <m/>
    <m/>
    <m/>
    <m/>
    <m/>
    <m/>
    <m/>
    <m/>
    <m/>
    <m/>
  </r>
  <r>
    <x v="1"/>
    <m/>
    <m/>
    <m/>
    <m/>
    <m/>
    <m/>
    <n v="281"/>
    <m/>
    <m/>
    <m/>
    <m/>
    <m/>
    <m/>
    <m/>
    <m/>
    <m/>
  </r>
  <r>
    <x v="0"/>
    <m/>
    <m/>
    <m/>
    <m/>
    <m/>
    <m/>
    <n v="171"/>
    <m/>
    <m/>
    <m/>
    <m/>
    <m/>
    <m/>
    <m/>
    <m/>
    <m/>
  </r>
  <r>
    <x v="2"/>
    <m/>
    <m/>
    <m/>
    <m/>
    <m/>
    <m/>
    <n v="97"/>
    <m/>
    <m/>
    <m/>
    <m/>
    <m/>
    <m/>
    <m/>
    <m/>
    <m/>
  </r>
  <r>
    <x v="3"/>
    <m/>
    <m/>
    <m/>
    <m/>
    <m/>
    <m/>
    <n v="63"/>
    <m/>
    <m/>
    <m/>
    <m/>
    <m/>
    <m/>
    <m/>
    <m/>
    <m/>
  </r>
  <r>
    <x v="2"/>
    <m/>
    <m/>
    <m/>
    <m/>
    <m/>
    <m/>
    <m/>
    <n v="984"/>
    <m/>
    <m/>
    <m/>
    <m/>
    <m/>
    <m/>
    <m/>
    <m/>
  </r>
  <r>
    <x v="1"/>
    <m/>
    <m/>
    <m/>
    <m/>
    <m/>
    <m/>
    <m/>
    <n v="832"/>
    <m/>
    <m/>
    <m/>
    <m/>
    <m/>
    <m/>
    <m/>
    <m/>
  </r>
  <r>
    <x v="3"/>
    <m/>
    <m/>
    <m/>
    <m/>
    <m/>
    <m/>
    <m/>
    <n v="763"/>
    <m/>
    <m/>
    <m/>
    <m/>
    <m/>
    <m/>
    <m/>
    <m/>
  </r>
  <r>
    <x v="0"/>
    <m/>
    <m/>
    <m/>
    <m/>
    <m/>
    <m/>
    <m/>
    <n v="505"/>
    <m/>
    <m/>
    <m/>
    <m/>
    <m/>
    <m/>
    <m/>
    <m/>
  </r>
  <r>
    <x v="1"/>
    <m/>
    <m/>
    <m/>
    <m/>
    <m/>
    <m/>
    <m/>
    <m/>
    <n v="452"/>
    <m/>
    <m/>
    <m/>
    <m/>
    <m/>
    <m/>
    <m/>
  </r>
  <r>
    <x v="4"/>
    <m/>
    <m/>
    <m/>
    <m/>
    <m/>
    <m/>
    <m/>
    <m/>
    <n v="130"/>
    <m/>
    <m/>
    <m/>
    <m/>
    <m/>
    <m/>
    <m/>
  </r>
  <r>
    <x v="2"/>
    <m/>
    <m/>
    <m/>
    <m/>
    <m/>
    <m/>
    <m/>
    <m/>
    <n v="125"/>
    <m/>
    <m/>
    <m/>
    <m/>
    <m/>
    <m/>
    <m/>
  </r>
  <r>
    <x v="3"/>
    <m/>
    <m/>
    <m/>
    <m/>
    <m/>
    <m/>
    <m/>
    <m/>
    <n v="116"/>
    <m/>
    <m/>
    <m/>
    <m/>
    <m/>
    <m/>
    <m/>
  </r>
  <r>
    <x v="5"/>
    <m/>
    <m/>
    <m/>
    <m/>
    <m/>
    <m/>
    <m/>
    <m/>
    <n v="105"/>
    <m/>
    <m/>
    <m/>
    <m/>
    <m/>
    <m/>
    <m/>
  </r>
  <r>
    <x v="0"/>
    <m/>
    <m/>
    <m/>
    <m/>
    <m/>
    <m/>
    <m/>
    <m/>
    <n v="48"/>
    <m/>
    <m/>
    <m/>
    <m/>
    <m/>
    <m/>
    <m/>
  </r>
  <r>
    <x v="2"/>
    <m/>
    <m/>
    <m/>
    <m/>
    <m/>
    <m/>
    <m/>
    <m/>
    <m/>
    <n v="411"/>
    <m/>
    <m/>
    <m/>
    <m/>
    <m/>
    <m/>
  </r>
  <r>
    <x v="1"/>
    <m/>
    <m/>
    <m/>
    <m/>
    <m/>
    <m/>
    <m/>
    <m/>
    <m/>
    <n v="336"/>
    <m/>
    <m/>
    <m/>
    <m/>
    <m/>
    <m/>
  </r>
  <r>
    <x v="0"/>
    <m/>
    <m/>
    <m/>
    <m/>
    <m/>
    <m/>
    <m/>
    <m/>
    <m/>
    <n v="265"/>
    <m/>
    <m/>
    <m/>
    <m/>
    <m/>
    <m/>
  </r>
  <r>
    <x v="3"/>
    <m/>
    <m/>
    <m/>
    <m/>
    <m/>
    <m/>
    <m/>
    <m/>
    <m/>
    <n v="247"/>
    <m/>
    <m/>
    <m/>
    <m/>
    <m/>
    <m/>
  </r>
  <r>
    <x v="5"/>
    <m/>
    <m/>
    <m/>
    <m/>
    <m/>
    <m/>
    <m/>
    <m/>
    <m/>
    <n v="236"/>
    <m/>
    <m/>
    <m/>
    <m/>
    <m/>
    <m/>
  </r>
  <r>
    <x v="2"/>
    <m/>
    <m/>
    <m/>
    <m/>
    <m/>
    <m/>
    <m/>
    <m/>
    <m/>
    <m/>
    <n v="310"/>
    <m/>
    <m/>
    <m/>
    <m/>
    <m/>
  </r>
  <r>
    <x v="3"/>
    <m/>
    <m/>
    <m/>
    <m/>
    <m/>
    <m/>
    <m/>
    <m/>
    <m/>
    <m/>
    <n v="185"/>
    <m/>
    <m/>
    <m/>
    <m/>
    <m/>
  </r>
  <r>
    <x v="4"/>
    <m/>
    <m/>
    <m/>
    <m/>
    <m/>
    <m/>
    <m/>
    <m/>
    <m/>
    <m/>
    <n v="152"/>
    <m/>
    <m/>
    <m/>
    <m/>
    <m/>
  </r>
  <r>
    <x v="5"/>
    <m/>
    <m/>
    <m/>
    <m/>
    <m/>
    <m/>
    <m/>
    <m/>
    <m/>
    <m/>
    <n v="106"/>
    <m/>
    <m/>
    <m/>
    <m/>
    <m/>
  </r>
  <r>
    <x v="1"/>
    <m/>
    <m/>
    <m/>
    <m/>
    <m/>
    <m/>
    <m/>
    <m/>
    <m/>
    <m/>
    <n v="91"/>
    <m/>
    <m/>
    <m/>
    <m/>
    <m/>
  </r>
  <r>
    <x v="6"/>
    <m/>
    <m/>
    <m/>
    <m/>
    <m/>
    <m/>
    <m/>
    <m/>
    <m/>
    <m/>
    <n v="66"/>
    <m/>
    <m/>
    <m/>
    <m/>
    <m/>
  </r>
  <r>
    <x v="0"/>
    <m/>
    <m/>
    <m/>
    <m/>
    <m/>
    <m/>
    <m/>
    <m/>
    <m/>
    <m/>
    <n v="63"/>
    <m/>
    <m/>
    <m/>
    <m/>
    <m/>
  </r>
  <r>
    <x v="6"/>
    <m/>
    <m/>
    <m/>
    <m/>
    <m/>
    <m/>
    <m/>
    <m/>
    <m/>
    <m/>
    <m/>
    <n v="82"/>
    <m/>
    <m/>
    <m/>
    <m/>
  </r>
  <r>
    <x v="2"/>
    <m/>
    <m/>
    <m/>
    <m/>
    <m/>
    <m/>
    <m/>
    <m/>
    <m/>
    <m/>
    <m/>
    <n v="36"/>
    <m/>
    <m/>
    <m/>
    <m/>
  </r>
  <r>
    <x v="4"/>
    <m/>
    <m/>
    <m/>
    <m/>
    <m/>
    <m/>
    <m/>
    <m/>
    <m/>
    <m/>
    <m/>
    <n v="36"/>
    <m/>
    <m/>
    <m/>
    <m/>
  </r>
  <r>
    <x v="5"/>
    <m/>
    <m/>
    <m/>
    <m/>
    <m/>
    <m/>
    <m/>
    <m/>
    <m/>
    <m/>
    <m/>
    <n v="32"/>
    <m/>
    <m/>
    <m/>
    <m/>
  </r>
  <r>
    <x v="0"/>
    <m/>
    <m/>
    <m/>
    <m/>
    <m/>
    <m/>
    <m/>
    <m/>
    <m/>
    <m/>
    <m/>
    <n v="27"/>
    <m/>
    <m/>
    <m/>
    <m/>
  </r>
  <r>
    <x v="3"/>
    <m/>
    <m/>
    <m/>
    <m/>
    <m/>
    <m/>
    <m/>
    <m/>
    <m/>
    <m/>
    <m/>
    <n v="25"/>
    <m/>
    <m/>
    <m/>
    <m/>
  </r>
  <r>
    <x v="1"/>
    <m/>
    <m/>
    <m/>
    <m/>
    <m/>
    <m/>
    <m/>
    <m/>
    <m/>
    <m/>
    <m/>
    <n v="12"/>
    <m/>
    <m/>
    <m/>
    <m/>
  </r>
  <r>
    <x v="5"/>
    <m/>
    <m/>
    <m/>
    <m/>
    <m/>
    <m/>
    <m/>
    <m/>
    <m/>
    <m/>
    <m/>
    <m/>
    <n v="41"/>
    <m/>
    <m/>
    <m/>
  </r>
  <r>
    <x v="0"/>
    <m/>
    <m/>
    <m/>
    <m/>
    <m/>
    <m/>
    <m/>
    <m/>
    <m/>
    <m/>
    <m/>
    <m/>
    <n v="16"/>
    <m/>
    <m/>
    <m/>
  </r>
  <r>
    <x v="6"/>
    <m/>
    <m/>
    <m/>
    <m/>
    <m/>
    <m/>
    <m/>
    <m/>
    <m/>
    <m/>
    <m/>
    <m/>
    <n v="16"/>
    <m/>
    <m/>
    <m/>
  </r>
  <r>
    <x v="4"/>
    <m/>
    <m/>
    <m/>
    <m/>
    <m/>
    <m/>
    <m/>
    <m/>
    <m/>
    <m/>
    <m/>
    <m/>
    <n v="10"/>
    <m/>
    <m/>
    <m/>
  </r>
  <r>
    <x v="3"/>
    <m/>
    <m/>
    <m/>
    <m/>
    <m/>
    <m/>
    <m/>
    <m/>
    <m/>
    <m/>
    <m/>
    <m/>
    <n v="6"/>
    <m/>
    <m/>
    <m/>
  </r>
  <r>
    <x v="1"/>
    <m/>
    <m/>
    <m/>
    <m/>
    <m/>
    <m/>
    <m/>
    <m/>
    <m/>
    <m/>
    <m/>
    <m/>
    <n v="4"/>
    <m/>
    <m/>
    <m/>
  </r>
  <r>
    <x v="7"/>
    <m/>
    <m/>
    <m/>
    <m/>
    <m/>
    <m/>
    <m/>
    <m/>
    <m/>
    <m/>
    <m/>
    <m/>
    <n v="2"/>
    <m/>
    <m/>
    <m/>
  </r>
  <r>
    <x v="2"/>
    <m/>
    <m/>
    <m/>
    <m/>
    <m/>
    <m/>
    <m/>
    <m/>
    <m/>
    <m/>
    <m/>
    <m/>
    <n v="1"/>
    <m/>
    <m/>
    <m/>
  </r>
  <r>
    <x v="6"/>
    <m/>
    <m/>
    <m/>
    <m/>
    <m/>
    <m/>
    <m/>
    <m/>
    <m/>
    <m/>
    <m/>
    <m/>
    <m/>
    <n v="334"/>
    <m/>
    <m/>
  </r>
  <r>
    <x v="4"/>
    <m/>
    <m/>
    <m/>
    <m/>
    <m/>
    <m/>
    <m/>
    <m/>
    <m/>
    <m/>
    <m/>
    <m/>
    <m/>
    <n v="216"/>
    <m/>
    <m/>
  </r>
  <r>
    <x v="5"/>
    <m/>
    <m/>
    <m/>
    <m/>
    <m/>
    <m/>
    <m/>
    <m/>
    <m/>
    <m/>
    <m/>
    <m/>
    <m/>
    <n v="177"/>
    <m/>
    <m/>
  </r>
  <r>
    <x v="0"/>
    <m/>
    <m/>
    <m/>
    <m/>
    <m/>
    <m/>
    <m/>
    <m/>
    <m/>
    <m/>
    <m/>
    <m/>
    <m/>
    <n v="117"/>
    <m/>
    <m/>
  </r>
  <r>
    <x v="3"/>
    <m/>
    <m/>
    <m/>
    <m/>
    <m/>
    <m/>
    <m/>
    <m/>
    <m/>
    <m/>
    <m/>
    <m/>
    <m/>
    <n v="107"/>
    <m/>
    <m/>
  </r>
  <r>
    <x v="1"/>
    <m/>
    <m/>
    <m/>
    <m/>
    <m/>
    <m/>
    <m/>
    <m/>
    <m/>
    <m/>
    <m/>
    <m/>
    <m/>
    <n v="73"/>
    <m/>
    <m/>
  </r>
  <r>
    <x v="2"/>
    <m/>
    <m/>
    <m/>
    <m/>
    <m/>
    <m/>
    <m/>
    <m/>
    <m/>
    <m/>
    <m/>
    <m/>
    <m/>
    <n v="59"/>
    <m/>
    <m/>
  </r>
  <r>
    <x v="3"/>
    <m/>
    <m/>
    <m/>
    <m/>
    <m/>
    <m/>
    <m/>
    <m/>
    <m/>
    <m/>
    <m/>
    <m/>
    <m/>
    <m/>
    <n v="44"/>
    <m/>
  </r>
  <r>
    <x v="5"/>
    <m/>
    <m/>
    <m/>
    <m/>
    <m/>
    <m/>
    <m/>
    <m/>
    <m/>
    <m/>
    <m/>
    <m/>
    <m/>
    <m/>
    <n v="29"/>
    <m/>
  </r>
  <r>
    <x v="4"/>
    <m/>
    <m/>
    <m/>
    <m/>
    <m/>
    <m/>
    <m/>
    <m/>
    <m/>
    <m/>
    <m/>
    <m/>
    <m/>
    <m/>
    <n v="24"/>
    <m/>
  </r>
  <r>
    <x v="1"/>
    <m/>
    <m/>
    <m/>
    <m/>
    <m/>
    <m/>
    <m/>
    <m/>
    <m/>
    <m/>
    <m/>
    <m/>
    <m/>
    <m/>
    <n v="18"/>
    <m/>
  </r>
  <r>
    <x v="6"/>
    <m/>
    <m/>
    <m/>
    <m/>
    <m/>
    <m/>
    <m/>
    <m/>
    <m/>
    <m/>
    <m/>
    <m/>
    <m/>
    <m/>
    <n v="12"/>
    <m/>
  </r>
  <r>
    <x v="0"/>
    <m/>
    <m/>
    <m/>
    <m/>
    <m/>
    <m/>
    <m/>
    <m/>
    <m/>
    <m/>
    <m/>
    <m/>
    <m/>
    <m/>
    <n v="6"/>
    <m/>
  </r>
  <r>
    <x v="2"/>
    <m/>
    <m/>
    <m/>
    <m/>
    <m/>
    <m/>
    <m/>
    <m/>
    <m/>
    <m/>
    <m/>
    <m/>
    <m/>
    <m/>
    <n v="1"/>
    <m/>
  </r>
  <r>
    <x v="4"/>
    <m/>
    <m/>
    <m/>
    <m/>
    <m/>
    <m/>
    <m/>
    <m/>
    <m/>
    <m/>
    <m/>
    <m/>
    <m/>
    <m/>
    <m/>
    <n v="131"/>
  </r>
  <r>
    <x v="7"/>
    <m/>
    <m/>
    <m/>
    <m/>
    <m/>
    <m/>
    <m/>
    <m/>
    <m/>
    <m/>
    <m/>
    <m/>
    <m/>
    <m/>
    <m/>
    <n v="96"/>
  </r>
  <r>
    <x v="6"/>
    <m/>
    <m/>
    <m/>
    <m/>
    <m/>
    <m/>
    <m/>
    <m/>
    <m/>
    <m/>
    <m/>
    <m/>
    <m/>
    <m/>
    <m/>
    <n v="81"/>
  </r>
  <r>
    <x v="2"/>
    <m/>
    <m/>
    <m/>
    <m/>
    <m/>
    <m/>
    <m/>
    <m/>
    <m/>
    <m/>
    <m/>
    <m/>
    <m/>
    <m/>
    <m/>
    <n v="76"/>
  </r>
  <r>
    <x v="5"/>
    <m/>
    <m/>
    <m/>
    <m/>
    <m/>
    <m/>
    <m/>
    <m/>
    <m/>
    <m/>
    <m/>
    <m/>
    <m/>
    <m/>
    <m/>
    <n v="69"/>
  </r>
  <r>
    <x v="3"/>
    <m/>
    <m/>
    <m/>
    <m/>
    <m/>
    <m/>
    <m/>
    <m/>
    <m/>
    <m/>
    <m/>
    <m/>
    <m/>
    <m/>
    <m/>
    <n v="67"/>
  </r>
  <r>
    <x v="1"/>
    <m/>
    <m/>
    <m/>
    <m/>
    <m/>
    <m/>
    <m/>
    <m/>
    <m/>
    <m/>
    <m/>
    <m/>
    <m/>
    <m/>
    <m/>
    <n v="65"/>
  </r>
  <r>
    <x v="8"/>
    <m/>
    <m/>
    <m/>
    <m/>
    <m/>
    <m/>
    <m/>
    <m/>
    <m/>
    <m/>
    <m/>
    <m/>
    <m/>
    <m/>
    <m/>
    <n v="47"/>
  </r>
  <r>
    <x v="0"/>
    <m/>
    <m/>
    <m/>
    <m/>
    <m/>
    <m/>
    <m/>
    <m/>
    <m/>
    <m/>
    <m/>
    <m/>
    <m/>
    <m/>
    <m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66313-D924-4349-AE1D-DAE2B584B224}" name="PivotTable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13" firstHeaderRow="0" firstDataRow="1" firstDataCol="1"/>
  <pivotFields count="17">
    <pivotField axis="axisRow" showAll="0">
      <items count="10">
        <item x="0"/>
        <item x="1"/>
        <item x="2"/>
        <item x="3"/>
        <item x="5"/>
        <item x="4"/>
        <item x="6"/>
        <item x="7"/>
        <item x="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Sum of dec_31_16" fld="16" baseField="0" baseItem="0"/>
    <dataField name="Sum of nov_30_18" fld="15" baseField="0" baseItem="0"/>
    <dataField name="Sum of nov_16_18" fld="14" baseField="0" baseItem="0"/>
    <dataField name="Sum of oct_31_18" fld="13" baseField="0" baseItem="0"/>
    <dataField name="Sum of dec_27_18" fld="12" baseField="0" baseItem="0"/>
    <dataField name="Sum of jul_18_19" fld="11" baseField="0" baseItem="0"/>
    <dataField name="Sum of nov_30_20" fld="10" baseField="0" baseItem="0"/>
    <dataField name="Sum of feb_12_20" fld="9" baseField="0" baseItem="0"/>
    <dataField name="Sum of dec_28_21" fld="8" baseField="0" baseItem="0"/>
    <dataField name="Sum of feb_17_22" fld="7" baseField="0" baseItem="0"/>
    <dataField name="Sum of jun_27_23" fld="6" baseField="0" baseItem="0"/>
    <dataField name="Sum of nov_28_2023" fld="5" baseField="0" baseItem="0"/>
    <dataField name="Sum of jan_10_23" fld="4" baseField="0" baseItem="0"/>
    <dataField name="Sum of sept_26_24" fld="3" baseField="0" baseItem="0"/>
    <dataField name="Sum of jun_26_24" fld="2" baseField="0" baseItem="0"/>
    <dataField name="Sum of dec_12_24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5CFB-EF45-BA4F-903C-2AF1CA22EE9B}">
  <dimension ref="A3:Q13"/>
  <sheetViews>
    <sheetView workbookViewId="0">
      <selection activeCell="B3" sqref="B3:Q13"/>
    </sheetView>
  </sheetViews>
  <sheetFormatPr baseColWidth="10" defaultRowHeight="16" x14ac:dyDescent="0.2"/>
  <cols>
    <col min="1" max="1" width="13" bestFit="1" customWidth="1"/>
    <col min="2" max="2" width="15.83203125" bestFit="1" customWidth="1"/>
    <col min="3" max="4" width="15.6640625" bestFit="1" customWidth="1"/>
    <col min="5" max="5" width="15.5" bestFit="1" customWidth="1"/>
    <col min="6" max="6" width="15.83203125" bestFit="1" customWidth="1"/>
    <col min="7" max="7" width="14.83203125" bestFit="1" customWidth="1"/>
    <col min="8" max="8" width="15.6640625" bestFit="1" customWidth="1"/>
    <col min="9" max="9" width="15.5" bestFit="1" customWidth="1"/>
    <col min="10" max="10" width="15.83203125" bestFit="1" customWidth="1"/>
    <col min="11" max="11" width="15.5" bestFit="1" customWidth="1"/>
    <col min="12" max="12" width="15.33203125" bestFit="1" customWidth="1"/>
    <col min="13" max="13" width="17.83203125" bestFit="1" customWidth="1"/>
    <col min="14" max="14" width="15.33203125" bestFit="1" customWidth="1"/>
    <col min="15" max="15" width="16.6640625" bestFit="1" customWidth="1"/>
    <col min="16" max="16" width="15.33203125" bestFit="1" customWidth="1"/>
    <col min="17" max="17" width="15.83203125" bestFit="1" customWidth="1"/>
  </cols>
  <sheetData>
    <row r="3" spans="1:17" x14ac:dyDescent="0.2">
      <c r="A3" s="1" t="s">
        <v>17</v>
      </c>
      <c r="B3" t="s">
        <v>34</v>
      </c>
      <c r="C3" t="s">
        <v>33</v>
      </c>
      <c r="D3" t="s">
        <v>32</v>
      </c>
      <c r="E3" t="s">
        <v>31</v>
      </c>
      <c r="F3" t="s">
        <v>30</v>
      </c>
      <c r="G3" t="s">
        <v>29</v>
      </c>
      <c r="H3" t="s">
        <v>28</v>
      </c>
      <c r="I3" t="s">
        <v>27</v>
      </c>
      <c r="J3" t="s">
        <v>26</v>
      </c>
      <c r="K3" t="s">
        <v>25</v>
      </c>
      <c r="L3" t="s">
        <v>24</v>
      </c>
      <c r="M3" t="s">
        <v>23</v>
      </c>
      <c r="N3" t="s">
        <v>22</v>
      </c>
      <c r="O3" t="s">
        <v>21</v>
      </c>
      <c r="P3" t="s">
        <v>20</v>
      </c>
      <c r="Q3" t="s">
        <v>19</v>
      </c>
    </row>
    <row r="4" spans="1:17" x14ac:dyDescent="0.2">
      <c r="A4" s="2">
        <v>0</v>
      </c>
      <c r="B4">
        <v>3</v>
      </c>
      <c r="C4">
        <v>6</v>
      </c>
      <c r="D4">
        <v>117</v>
      </c>
      <c r="E4">
        <v>16</v>
      </c>
      <c r="F4">
        <v>27</v>
      </c>
      <c r="G4">
        <v>63</v>
      </c>
      <c r="H4">
        <v>265</v>
      </c>
      <c r="I4">
        <v>48</v>
      </c>
      <c r="J4">
        <v>505</v>
      </c>
      <c r="K4">
        <v>171</v>
      </c>
      <c r="L4">
        <v>293</v>
      </c>
      <c r="M4">
        <v>1263</v>
      </c>
      <c r="N4">
        <v>52</v>
      </c>
      <c r="O4">
        <v>803</v>
      </c>
      <c r="P4">
        <v>296</v>
      </c>
      <c r="Q4">
        <v>342</v>
      </c>
    </row>
    <row r="5" spans="1:17" x14ac:dyDescent="0.2">
      <c r="A5" s="2">
        <v>1</v>
      </c>
      <c r="B5">
        <v>65</v>
      </c>
      <c r="C5">
        <v>18</v>
      </c>
      <c r="D5">
        <v>73</v>
      </c>
      <c r="E5">
        <v>4</v>
      </c>
      <c r="F5">
        <v>12</v>
      </c>
      <c r="G5">
        <v>91</v>
      </c>
      <c r="H5">
        <v>336</v>
      </c>
      <c r="I5">
        <v>452</v>
      </c>
      <c r="J5">
        <v>832</v>
      </c>
      <c r="K5">
        <v>281</v>
      </c>
      <c r="L5">
        <v>235</v>
      </c>
      <c r="M5">
        <v>1197</v>
      </c>
      <c r="N5">
        <v>73</v>
      </c>
      <c r="O5">
        <v>109</v>
      </c>
      <c r="P5">
        <v>170</v>
      </c>
    </row>
    <row r="6" spans="1:17" x14ac:dyDescent="0.2">
      <c r="A6" s="2">
        <v>2</v>
      </c>
      <c r="B6">
        <v>76</v>
      </c>
      <c r="C6">
        <v>1</v>
      </c>
      <c r="D6">
        <v>59</v>
      </c>
      <c r="E6">
        <v>1</v>
      </c>
      <c r="F6">
        <v>36</v>
      </c>
      <c r="G6">
        <v>310</v>
      </c>
      <c r="H6">
        <v>411</v>
      </c>
      <c r="I6">
        <v>125</v>
      </c>
      <c r="J6">
        <v>984</v>
      </c>
      <c r="K6">
        <v>97</v>
      </c>
      <c r="L6">
        <v>52</v>
      </c>
      <c r="N6">
        <v>15</v>
      </c>
    </row>
    <row r="7" spans="1:17" x14ac:dyDescent="0.2">
      <c r="A7" s="2">
        <v>3</v>
      </c>
      <c r="B7">
        <v>67</v>
      </c>
      <c r="C7">
        <v>44</v>
      </c>
      <c r="D7">
        <v>107</v>
      </c>
      <c r="E7">
        <v>6</v>
      </c>
      <c r="F7">
        <v>25</v>
      </c>
      <c r="G7">
        <v>185</v>
      </c>
      <c r="H7">
        <v>247</v>
      </c>
      <c r="I7">
        <v>116</v>
      </c>
      <c r="J7">
        <v>763</v>
      </c>
      <c r="K7">
        <v>63</v>
      </c>
    </row>
    <row r="8" spans="1:17" x14ac:dyDescent="0.2">
      <c r="A8" s="2">
        <v>4</v>
      </c>
      <c r="B8">
        <v>69</v>
      </c>
      <c r="C8">
        <v>29</v>
      </c>
      <c r="D8">
        <v>177</v>
      </c>
      <c r="E8">
        <v>41</v>
      </c>
      <c r="F8">
        <v>32</v>
      </c>
      <c r="G8">
        <v>106</v>
      </c>
      <c r="H8">
        <v>236</v>
      </c>
      <c r="I8">
        <v>105</v>
      </c>
    </row>
    <row r="9" spans="1:17" x14ac:dyDescent="0.2">
      <c r="A9" s="2">
        <v>5</v>
      </c>
      <c r="B9">
        <v>131</v>
      </c>
      <c r="C9">
        <v>24</v>
      </c>
      <c r="D9">
        <v>216</v>
      </c>
      <c r="E9">
        <v>10</v>
      </c>
      <c r="F9">
        <v>36</v>
      </c>
      <c r="G9">
        <v>152</v>
      </c>
      <c r="I9">
        <v>130</v>
      </c>
    </row>
    <row r="10" spans="1:17" x14ac:dyDescent="0.2">
      <c r="A10" s="2">
        <v>6</v>
      </c>
      <c r="B10">
        <v>81</v>
      </c>
      <c r="C10">
        <v>12</v>
      </c>
      <c r="D10">
        <v>334</v>
      </c>
      <c r="E10">
        <v>16</v>
      </c>
      <c r="F10">
        <v>82</v>
      </c>
      <c r="G10">
        <v>66</v>
      </c>
    </row>
    <row r="11" spans="1:17" x14ac:dyDescent="0.2">
      <c r="A11" s="2">
        <v>7</v>
      </c>
      <c r="B11">
        <v>96</v>
      </c>
      <c r="E11">
        <v>2</v>
      </c>
    </row>
    <row r="12" spans="1:17" x14ac:dyDescent="0.2">
      <c r="A12" s="2">
        <v>8</v>
      </c>
      <c r="B12">
        <v>47</v>
      </c>
    </row>
    <row r="13" spans="1:17" x14ac:dyDescent="0.2">
      <c r="A13" s="2" t="s">
        <v>18</v>
      </c>
      <c r="B13">
        <v>635</v>
      </c>
      <c r="C13">
        <v>134</v>
      </c>
      <c r="D13">
        <v>1083</v>
      </c>
      <c r="E13">
        <v>96</v>
      </c>
      <c r="F13">
        <v>250</v>
      </c>
      <c r="G13">
        <v>973</v>
      </c>
      <c r="H13">
        <v>1495</v>
      </c>
      <c r="I13">
        <v>976</v>
      </c>
      <c r="J13">
        <v>3084</v>
      </c>
      <c r="K13">
        <v>612</v>
      </c>
      <c r="L13">
        <v>580</v>
      </c>
      <c r="M13">
        <v>2460</v>
      </c>
      <c r="N13">
        <v>140</v>
      </c>
      <c r="O13">
        <v>912</v>
      </c>
      <c r="P13">
        <v>466</v>
      </c>
      <c r="Q13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C9BF-6998-324E-A6FB-DB122580AC9A}">
  <dimension ref="A1:Q35"/>
  <sheetViews>
    <sheetView tabSelected="1" workbookViewId="0">
      <selection activeCell="B9" sqref="B9"/>
    </sheetView>
  </sheetViews>
  <sheetFormatPr baseColWidth="10" defaultRowHeight="16" x14ac:dyDescent="0.2"/>
  <cols>
    <col min="1" max="1" width="5" bestFit="1" customWidth="1"/>
    <col min="2" max="2" width="15.5" bestFit="1" customWidth="1"/>
    <col min="3" max="3" width="15.1640625" bestFit="1" customWidth="1"/>
    <col min="4" max="5" width="15.33203125" bestFit="1" customWidth="1"/>
    <col min="6" max="6" width="15.5" bestFit="1" customWidth="1"/>
    <col min="7" max="7" width="14.5" bestFit="1" customWidth="1"/>
    <col min="8" max="8" width="15" bestFit="1" customWidth="1"/>
    <col min="9" max="9" width="15.33203125" bestFit="1" customWidth="1"/>
    <col min="10" max="10" width="15.5" bestFit="1" customWidth="1"/>
    <col min="11" max="12" width="15" bestFit="1" customWidth="1"/>
    <col min="13" max="13" width="17.5" bestFit="1" customWidth="1"/>
    <col min="14" max="14" width="15" bestFit="1" customWidth="1"/>
    <col min="15" max="15" width="16" style="5" bestFit="1" customWidth="1"/>
    <col min="16" max="16" width="15" style="5" bestFit="1" customWidth="1"/>
    <col min="17" max="17" width="15.5" style="5" bestFit="1" customWidth="1"/>
  </cols>
  <sheetData>
    <row r="1" spans="1:17" x14ac:dyDescent="0.2">
      <c r="A1" t="s">
        <v>36</v>
      </c>
      <c r="B1" s="3" t="s">
        <v>34</v>
      </c>
      <c r="C1" t="s">
        <v>31</v>
      </c>
      <c r="D1" s="3" t="s">
        <v>32</v>
      </c>
      <c r="E1" s="3" t="s">
        <v>33</v>
      </c>
      <c r="F1" s="3" t="s">
        <v>30</v>
      </c>
      <c r="G1" s="3" t="s">
        <v>29</v>
      </c>
      <c r="H1" s="3" t="s">
        <v>27</v>
      </c>
      <c r="I1" t="s">
        <v>28</v>
      </c>
      <c r="J1" s="3" t="s">
        <v>26</v>
      </c>
      <c r="K1" t="s">
        <v>25</v>
      </c>
      <c r="L1" t="s">
        <v>24</v>
      </c>
      <c r="M1" t="s">
        <v>23</v>
      </c>
      <c r="N1" s="3" t="s">
        <v>22</v>
      </c>
      <c r="O1" s="5" t="s">
        <v>21</v>
      </c>
      <c r="P1" s="5" t="s">
        <v>20</v>
      </c>
      <c r="Q1" s="5" t="s">
        <v>19</v>
      </c>
    </row>
    <row r="2" spans="1:17" x14ac:dyDescent="0.2">
      <c r="A2">
        <v>0</v>
      </c>
      <c r="B2" s="3">
        <v>3</v>
      </c>
      <c r="C2">
        <v>16</v>
      </c>
      <c r="D2" s="3">
        <v>117</v>
      </c>
      <c r="E2" s="3">
        <v>6</v>
      </c>
      <c r="F2" s="3">
        <v>27</v>
      </c>
      <c r="G2" s="3">
        <v>63</v>
      </c>
      <c r="H2" s="3">
        <v>48</v>
      </c>
      <c r="I2">
        <v>265</v>
      </c>
      <c r="J2" s="3">
        <v>505</v>
      </c>
      <c r="K2">
        <v>171</v>
      </c>
      <c r="L2">
        <v>293</v>
      </c>
      <c r="M2">
        <v>1263</v>
      </c>
      <c r="N2" s="3">
        <v>52</v>
      </c>
      <c r="O2" s="5">
        <v>803</v>
      </c>
      <c r="P2" s="5">
        <v>296</v>
      </c>
      <c r="Q2" s="5">
        <v>342</v>
      </c>
    </row>
    <row r="3" spans="1:17" x14ac:dyDescent="0.2">
      <c r="A3">
        <v>1</v>
      </c>
      <c r="B3" s="3">
        <v>65</v>
      </c>
      <c r="C3">
        <v>4</v>
      </c>
      <c r="D3" s="3">
        <v>73</v>
      </c>
      <c r="E3" s="3">
        <v>18</v>
      </c>
      <c r="F3" s="3">
        <v>12</v>
      </c>
      <c r="G3" s="3">
        <v>91</v>
      </c>
      <c r="H3" s="3">
        <v>452</v>
      </c>
      <c r="I3">
        <v>336</v>
      </c>
      <c r="J3" s="3">
        <v>832</v>
      </c>
      <c r="K3">
        <v>281</v>
      </c>
      <c r="L3">
        <v>235</v>
      </c>
      <c r="M3">
        <v>1197</v>
      </c>
      <c r="N3" s="3">
        <v>73</v>
      </c>
      <c r="O3" s="5">
        <v>109</v>
      </c>
      <c r="P3" s="5">
        <v>170</v>
      </c>
    </row>
    <row r="4" spans="1:17" x14ac:dyDescent="0.2">
      <c r="A4">
        <v>2</v>
      </c>
      <c r="B4" s="3">
        <v>76</v>
      </c>
      <c r="C4">
        <v>1</v>
      </c>
      <c r="D4" s="3">
        <v>59</v>
      </c>
      <c r="E4" s="3">
        <v>1</v>
      </c>
      <c r="F4" s="3">
        <v>36</v>
      </c>
      <c r="G4" s="3">
        <v>310</v>
      </c>
      <c r="H4" s="3">
        <v>125</v>
      </c>
      <c r="I4">
        <v>411</v>
      </c>
      <c r="J4" s="3">
        <v>984</v>
      </c>
      <c r="K4">
        <v>97</v>
      </c>
      <c r="L4" s="5">
        <v>52</v>
      </c>
      <c r="N4" s="5">
        <v>15</v>
      </c>
    </row>
    <row r="5" spans="1:17" x14ac:dyDescent="0.2">
      <c r="A5">
        <v>3</v>
      </c>
      <c r="B5" s="3">
        <v>67</v>
      </c>
      <c r="C5">
        <v>6</v>
      </c>
      <c r="D5" s="3">
        <v>107</v>
      </c>
      <c r="E5" s="3">
        <v>44</v>
      </c>
      <c r="F5" s="3">
        <v>25</v>
      </c>
      <c r="G5" s="3">
        <v>185</v>
      </c>
      <c r="H5" s="3">
        <v>116</v>
      </c>
      <c r="I5">
        <v>247</v>
      </c>
      <c r="J5" s="3">
        <v>763</v>
      </c>
      <c r="K5" s="5">
        <v>63</v>
      </c>
    </row>
    <row r="6" spans="1:17" x14ac:dyDescent="0.2">
      <c r="A6">
        <v>4</v>
      </c>
      <c r="B6" s="3">
        <v>69</v>
      </c>
      <c r="C6">
        <v>41</v>
      </c>
      <c r="D6" s="3">
        <v>177</v>
      </c>
      <c r="E6" s="3">
        <v>29</v>
      </c>
      <c r="F6" s="3">
        <v>32</v>
      </c>
      <c r="G6" s="3">
        <v>106</v>
      </c>
      <c r="H6" s="3">
        <v>105</v>
      </c>
      <c r="I6">
        <v>236</v>
      </c>
    </row>
    <row r="7" spans="1:17" x14ac:dyDescent="0.2">
      <c r="A7">
        <v>5</v>
      </c>
      <c r="B7" s="3">
        <v>131</v>
      </c>
      <c r="C7">
        <v>10</v>
      </c>
      <c r="D7" s="3">
        <v>216</v>
      </c>
      <c r="E7" s="3">
        <v>24</v>
      </c>
      <c r="F7" s="3">
        <v>36</v>
      </c>
      <c r="G7" s="3">
        <v>152</v>
      </c>
      <c r="H7" s="5">
        <v>130</v>
      </c>
    </row>
    <row r="8" spans="1:17" x14ac:dyDescent="0.2">
      <c r="A8">
        <v>6</v>
      </c>
      <c r="B8" s="3">
        <v>81</v>
      </c>
      <c r="C8">
        <v>16</v>
      </c>
      <c r="D8" s="3">
        <v>334</v>
      </c>
      <c r="E8" s="5">
        <v>12</v>
      </c>
      <c r="F8" s="5">
        <v>82</v>
      </c>
      <c r="G8" s="5">
        <v>66</v>
      </c>
    </row>
    <row r="9" spans="1:17" x14ac:dyDescent="0.2">
      <c r="A9">
        <v>7</v>
      </c>
      <c r="B9" s="3">
        <v>96</v>
      </c>
      <c r="C9" s="5">
        <v>2</v>
      </c>
    </row>
    <row r="10" spans="1:17" x14ac:dyDescent="0.2">
      <c r="A10">
        <v>8</v>
      </c>
      <c r="B10" s="5">
        <v>47</v>
      </c>
    </row>
    <row r="11" spans="1:17" x14ac:dyDescent="0.2">
      <c r="A11" t="s">
        <v>35</v>
      </c>
      <c r="B11">
        <v>635</v>
      </c>
      <c r="C11">
        <v>96</v>
      </c>
      <c r="D11">
        <v>1083</v>
      </c>
      <c r="E11">
        <v>134</v>
      </c>
      <c r="F11">
        <v>250</v>
      </c>
      <c r="G11">
        <v>973</v>
      </c>
      <c r="H11">
        <v>976</v>
      </c>
      <c r="I11">
        <v>1495</v>
      </c>
      <c r="J11">
        <v>3084</v>
      </c>
      <c r="K11">
        <v>612</v>
      </c>
      <c r="L11">
        <v>580</v>
      </c>
      <c r="M11">
        <v>2460</v>
      </c>
      <c r="N11">
        <v>140</v>
      </c>
      <c r="O11" s="5">
        <v>912</v>
      </c>
      <c r="P11" s="5">
        <v>466</v>
      </c>
      <c r="Q11" s="5">
        <v>342</v>
      </c>
    </row>
    <row r="18" spans="3:12" x14ac:dyDescent="0.2">
      <c r="L18" s="4"/>
    </row>
    <row r="19" spans="3:12" x14ac:dyDescent="0.2">
      <c r="C19" s="7" t="s">
        <v>54</v>
      </c>
      <c r="D19" s="7" t="s">
        <v>55</v>
      </c>
      <c r="L19" s="4"/>
    </row>
    <row r="20" spans="3:12" x14ac:dyDescent="0.2">
      <c r="C20" s="8">
        <v>0</v>
      </c>
      <c r="D20" s="9">
        <v>42735</v>
      </c>
      <c r="E20" s="8">
        <v>1</v>
      </c>
      <c r="F20">
        <v>1</v>
      </c>
      <c r="L20" s="4"/>
    </row>
    <row r="21" spans="3:12" x14ac:dyDescent="0.2">
      <c r="C21" s="8">
        <v>1</v>
      </c>
      <c r="D21" s="9">
        <v>43404</v>
      </c>
      <c r="E21" s="8">
        <v>1</v>
      </c>
      <c r="J21">
        <f>34/79</f>
        <v>0.43037974683544306</v>
      </c>
      <c r="L21" s="4"/>
    </row>
    <row r="22" spans="3:12" x14ac:dyDescent="0.2">
      <c r="C22" s="8">
        <v>2</v>
      </c>
      <c r="D22" s="9">
        <v>43420</v>
      </c>
      <c r="E22" s="8">
        <v>6</v>
      </c>
      <c r="F22">
        <v>6</v>
      </c>
      <c r="L22" s="4"/>
    </row>
    <row r="23" spans="3:12" x14ac:dyDescent="0.2">
      <c r="C23" s="8">
        <v>3</v>
      </c>
      <c r="D23" s="9">
        <v>43434</v>
      </c>
      <c r="E23" s="8">
        <v>5</v>
      </c>
      <c r="F23">
        <v>5</v>
      </c>
      <c r="L23" s="4"/>
    </row>
    <row r="24" spans="3:12" x14ac:dyDescent="0.2">
      <c r="C24" s="8">
        <v>4</v>
      </c>
      <c r="D24" s="9">
        <v>43461</v>
      </c>
      <c r="E24" s="8">
        <v>2</v>
      </c>
      <c r="F24">
        <v>2</v>
      </c>
      <c r="L24" s="4"/>
    </row>
    <row r="25" spans="3:12" x14ac:dyDescent="0.2">
      <c r="C25" s="8">
        <v>5</v>
      </c>
      <c r="D25" s="9">
        <v>43664</v>
      </c>
      <c r="E25" s="8">
        <v>5</v>
      </c>
      <c r="F25">
        <v>5</v>
      </c>
      <c r="L25" s="4"/>
    </row>
    <row r="26" spans="3:12" x14ac:dyDescent="0.2">
      <c r="C26" s="8">
        <v>6</v>
      </c>
      <c r="D26" s="9">
        <v>43873</v>
      </c>
      <c r="E26" s="8">
        <v>8</v>
      </c>
      <c r="F26">
        <v>8</v>
      </c>
      <c r="L26" s="4"/>
    </row>
    <row r="27" spans="3:12" x14ac:dyDescent="0.2">
      <c r="C27" s="8">
        <v>7</v>
      </c>
      <c r="D27" s="9">
        <v>44165</v>
      </c>
      <c r="E27" s="8">
        <v>14</v>
      </c>
      <c r="L27" s="6"/>
    </row>
    <row r="28" spans="3:12" x14ac:dyDescent="0.2">
      <c r="C28" s="8">
        <v>8</v>
      </c>
      <c r="D28" s="9">
        <v>44558</v>
      </c>
      <c r="E28" s="8">
        <v>6</v>
      </c>
      <c r="F28">
        <v>6</v>
      </c>
    </row>
    <row r="29" spans="3:12" x14ac:dyDescent="0.2">
      <c r="C29" s="8">
        <v>9</v>
      </c>
      <c r="D29" s="9">
        <v>44609</v>
      </c>
      <c r="E29" s="8">
        <v>2</v>
      </c>
    </row>
    <row r="30" spans="3:12" x14ac:dyDescent="0.2">
      <c r="C30" s="8">
        <v>10</v>
      </c>
      <c r="D30" s="9">
        <v>44936</v>
      </c>
      <c r="E30" s="8">
        <v>1</v>
      </c>
      <c r="F30">
        <v>1</v>
      </c>
    </row>
    <row r="31" spans="3:12" x14ac:dyDescent="0.2">
      <c r="C31" s="8">
        <v>11</v>
      </c>
      <c r="D31" s="9">
        <v>45104</v>
      </c>
      <c r="E31" s="8">
        <v>1</v>
      </c>
    </row>
    <row r="32" spans="3:12" x14ac:dyDescent="0.2">
      <c r="C32" s="8">
        <v>12</v>
      </c>
      <c r="D32" s="9">
        <v>45258</v>
      </c>
      <c r="E32" s="8">
        <v>20</v>
      </c>
    </row>
    <row r="33" spans="3:5" x14ac:dyDescent="0.2">
      <c r="C33" s="8"/>
      <c r="D33" s="9"/>
      <c r="E33" s="8"/>
    </row>
    <row r="34" spans="3:5" x14ac:dyDescent="0.2">
      <c r="C34" s="8"/>
      <c r="D34" s="9"/>
      <c r="E34" s="8"/>
    </row>
    <row r="35" spans="3:5" x14ac:dyDescent="0.2">
      <c r="C35" s="8"/>
      <c r="D35" s="9"/>
      <c r="E3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AF1A-0E5F-0045-B2FA-0E9B5A1B81F8}">
  <dimension ref="B4:D25"/>
  <sheetViews>
    <sheetView workbookViewId="0">
      <selection activeCell="B4" sqref="B4:D17"/>
    </sheetView>
  </sheetViews>
  <sheetFormatPr baseColWidth="10" defaultRowHeight="16" x14ac:dyDescent="0.2"/>
  <cols>
    <col min="2" max="2" width="17" bestFit="1" customWidth="1"/>
    <col min="3" max="3" width="17.83203125" bestFit="1" customWidth="1"/>
  </cols>
  <sheetData>
    <row r="4" spans="2:4" x14ac:dyDescent="0.2">
      <c r="B4" t="s">
        <v>37</v>
      </c>
      <c r="C4" t="s">
        <v>38</v>
      </c>
      <c r="D4" t="s">
        <v>39</v>
      </c>
    </row>
    <row r="5" spans="2:4" x14ac:dyDescent="0.2">
      <c r="B5" s="4" t="s">
        <v>40</v>
      </c>
      <c r="C5">
        <v>5</v>
      </c>
      <c r="D5">
        <v>150</v>
      </c>
    </row>
    <row r="6" spans="2:4" x14ac:dyDescent="0.2">
      <c r="B6" s="4" t="s">
        <v>43</v>
      </c>
      <c r="C6">
        <v>16</v>
      </c>
      <c r="D6">
        <v>16</v>
      </c>
    </row>
    <row r="7" spans="2:4" x14ac:dyDescent="0.2">
      <c r="B7" s="4" t="s">
        <v>42</v>
      </c>
      <c r="C7">
        <v>117</v>
      </c>
      <c r="D7">
        <v>334</v>
      </c>
    </row>
    <row r="8" spans="2:4" x14ac:dyDescent="0.2">
      <c r="B8" s="4" t="s">
        <v>41</v>
      </c>
      <c r="C8">
        <v>6</v>
      </c>
      <c r="D8">
        <v>24</v>
      </c>
    </row>
    <row r="9" spans="2:4" x14ac:dyDescent="0.2">
      <c r="B9" s="4" t="s">
        <v>44</v>
      </c>
      <c r="C9">
        <v>27</v>
      </c>
      <c r="D9">
        <v>36</v>
      </c>
    </row>
    <row r="10" spans="2:4" x14ac:dyDescent="0.2">
      <c r="B10" s="4" t="s">
        <v>53</v>
      </c>
      <c r="C10">
        <v>63</v>
      </c>
      <c r="D10">
        <v>152</v>
      </c>
    </row>
    <row r="11" spans="2:4" x14ac:dyDescent="0.2">
      <c r="B11" s="4" t="s">
        <v>45</v>
      </c>
      <c r="C11">
        <v>265</v>
      </c>
      <c r="D11">
        <v>236</v>
      </c>
    </row>
    <row r="12" spans="2:4" x14ac:dyDescent="0.2">
      <c r="B12" s="4" t="s">
        <v>46</v>
      </c>
      <c r="C12">
        <v>48</v>
      </c>
      <c r="D12">
        <v>105</v>
      </c>
    </row>
    <row r="13" spans="2:4" x14ac:dyDescent="0.2">
      <c r="B13" s="4" t="s">
        <v>47</v>
      </c>
      <c r="C13">
        <v>505</v>
      </c>
      <c r="D13">
        <v>763</v>
      </c>
    </row>
    <row r="14" spans="2:4" x14ac:dyDescent="0.2">
      <c r="B14" s="4" t="s">
        <v>48</v>
      </c>
      <c r="C14">
        <v>171</v>
      </c>
      <c r="D14">
        <v>97</v>
      </c>
    </row>
    <row r="15" spans="2:4" x14ac:dyDescent="0.2">
      <c r="B15" s="4" t="s">
        <v>49</v>
      </c>
      <c r="C15">
        <v>293</v>
      </c>
      <c r="D15">
        <v>235</v>
      </c>
    </row>
    <row r="16" spans="2:4" x14ac:dyDescent="0.2">
      <c r="B16" s="4" t="s">
        <v>50</v>
      </c>
      <c r="C16">
        <v>1263</v>
      </c>
      <c r="D16">
        <v>1197</v>
      </c>
    </row>
    <row r="17" spans="2:4" x14ac:dyDescent="0.2">
      <c r="B17" s="4" t="s">
        <v>51</v>
      </c>
      <c r="C17">
        <v>52</v>
      </c>
      <c r="D17">
        <v>73</v>
      </c>
    </row>
    <row r="18" spans="2:4" x14ac:dyDescent="0.2">
      <c r="B18" s="4"/>
    </row>
    <row r="19" spans="2:4" x14ac:dyDescent="0.2">
      <c r="B19" s="4"/>
    </row>
    <row r="25" spans="2:4" x14ac:dyDescent="0.2">
      <c r="B25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2F91-0CB9-E541-BC03-3F78E278DE27}">
  <dimension ref="A1:R78"/>
  <sheetViews>
    <sheetView workbookViewId="0">
      <selection activeCell="B2" sqref="B2"/>
    </sheetView>
  </sheetViews>
  <sheetFormatPr baseColWidth="10" defaultRowHeight="16" x14ac:dyDescent="0.2"/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>
        <v>0</v>
      </c>
      <c r="B2">
        <v>0</v>
      </c>
      <c r="C2">
        <v>342</v>
      </c>
    </row>
    <row r="3" spans="1:18" x14ac:dyDescent="0.2">
      <c r="A3">
        <v>0</v>
      </c>
      <c r="B3">
        <v>0</v>
      </c>
      <c r="D3">
        <v>296</v>
      </c>
    </row>
    <row r="4" spans="1:18" x14ac:dyDescent="0.2">
      <c r="A4">
        <v>1</v>
      </c>
      <c r="B4">
        <v>1</v>
      </c>
      <c r="D4">
        <v>170</v>
      </c>
    </row>
    <row r="5" spans="1:18" x14ac:dyDescent="0.2">
      <c r="A5">
        <v>0</v>
      </c>
      <c r="B5">
        <v>0</v>
      </c>
      <c r="E5">
        <v>803</v>
      </c>
    </row>
    <row r="6" spans="1:18" x14ac:dyDescent="0.2">
      <c r="A6">
        <v>1</v>
      </c>
      <c r="B6">
        <v>1</v>
      </c>
      <c r="E6">
        <v>109</v>
      </c>
    </row>
    <row r="7" spans="1:18" x14ac:dyDescent="0.2">
      <c r="A7">
        <v>0</v>
      </c>
      <c r="B7">
        <v>1</v>
      </c>
      <c r="F7">
        <v>73</v>
      </c>
    </row>
    <row r="8" spans="1:18" x14ac:dyDescent="0.2">
      <c r="A8">
        <v>1</v>
      </c>
      <c r="B8">
        <v>0</v>
      </c>
      <c r="F8">
        <v>52</v>
      </c>
    </row>
    <row r="9" spans="1:18" x14ac:dyDescent="0.2">
      <c r="A9">
        <v>2</v>
      </c>
      <c r="B9">
        <v>2</v>
      </c>
      <c r="F9">
        <v>15</v>
      </c>
    </row>
    <row r="10" spans="1:18" x14ac:dyDescent="0.2">
      <c r="A10">
        <v>0</v>
      </c>
      <c r="B10">
        <v>0</v>
      </c>
      <c r="G10">
        <v>1263</v>
      </c>
    </row>
    <row r="11" spans="1:18" x14ac:dyDescent="0.2">
      <c r="A11">
        <v>1</v>
      </c>
      <c r="B11">
        <v>1</v>
      </c>
      <c r="G11">
        <v>1197</v>
      </c>
    </row>
    <row r="12" spans="1:18" x14ac:dyDescent="0.2">
      <c r="A12">
        <v>0</v>
      </c>
      <c r="B12">
        <v>0</v>
      </c>
      <c r="H12">
        <v>293</v>
      </c>
    </row>
    <row r="13" spans="1:18" x14ac:dyDescent="0.2">
      <c r="A13">
        <v>1</v>
      </c>
      <c r="B13">
        <v>1</v>
      </c>
      <c r="H13">
        <v>235</v>
      </c>
    </row>
    <row r="14" spans="1:18" x14ac:dyDescent="0.2">
      <c r="A14">
        <v>2</v>
      </c>
      <c r="B14">
        <v>2</v>
      </c>
      <c r="H14">
        <v>52</v>
      </c>
    </row>
    <row r="15" spans="1:18" x14ac:dyDescent="0.2">
      <c r="A15">
        <v>0</v>
      </c>
      <c r="B15">
        <v>1</v>
      </c>
      <c r="I15">
        <v>281</v>
      </c>
    </row>
    <row r="16" spans="1:18" x14ac:dyDescent="0.2">
      <c r="A16">
        <v>1</v>
      </c>
      <c r="B16">
        <v>0</v>
      </c>
      <c r="I16">
        <v>171</v>
      </c>
    </row>
    <row r="17" spans="1:12" x14ac:dyDescent="0.2">
      <c r="A17">
        <v>2</v>
      </c>
      <c r="B17">
        <v>2</v>
      </c>
      <c r="I17">
        <v>97</v>
      </c>
    </row>
    <row r="18" spans="1:12" x14ac:dyDescent="0.2">
      <c r="A18">
        <v>3</v>
      </c>
      <c r="B18">
        <v>3</v>
      </c>
      <c r="I18">
        <v>63</v>
      </c>
    </row>
    <row r="19" spans="1:12" x14ac:dyDescent="0.2">
      <c r="A19">
        <v>0</v>
      </c>
      <c r="B19">
        <v>2</v>
      </c>
      <c r="J19">
        <v>984</v>
      </c>
    </row>
    <row r="20" spans="1:12" x14ac:dyDescent="0.2">
      <c r="A20">
        <v>1</v>
      </c>
      <c r="B20">
        <v>1</v>
      </c>
      <c r="J20">
        <v>832</v>
      </c>
    </row>
    <row r="21" spans="1:12" x14ac:dyDescent="0.2">
      <c r="A21">
        <v>2</v>
      </c>
      <c r="B21">
        <v>3</v>
      </c>
      <c r="J21">
        <v>763</v>
      </c>
    </row>
    <row r="22" spans="1:12" x14ac:dyDescent="0.2">
      <c r="A22">
        <v>3</v>
      </c>
      <c r="B22">
        <v>0</v>
      </c>
      <c r="J22">
        <v>505</v>
      </c>
    </row>
    <row r="23" spans="1:12" x14ac:dyDescent="0.2">
      <c r="A23">
        <v>0</v>
      </c>
      <c r="B23">
        <v>1</v>
      </c>
      <c r="K23">
        <v>452</v>
      </c>
    </row>
    <row r="24" spans="1:12" x14ac:dyDescent="0.2">
      <c r="A24">
        <v>1</v>
      </c>
      <c r="B24">
        <v>5</v>
      </c>
      <c r="K24">
        <v>130</v>
      </c>
    </row>
    <row r="25" spans="1:12" x14ac:dyDescent="0.2">
      <c r="A25">
        <v>2</v>
      </c>
      <c r="B25">
        <v>2</v>
      </c>
      <c r="K25">
        <v>125</v>
      </c>
    </row>
    <row r="26" spans="1:12" x14ac:dyDescent="0.2">
      <c r="A26">
        <v>3</v>
      </c>
      <c r="B26">
        <v>3</v>
      </c>
      <c r="K26">
        <v>116</v>
      </c>
    </row>
    <row r="27" spans="1:12" x14ac:dyDescent="0.2">
      <c r="A27">
        <v>4</v>
      </c>
      <c r="B27">
        <v>4</v>
      </c>
      <c r="K27">
        <v>105</v>
      </c>
    </row>
    <row r="28" spans="1:12" x14ac:dyDescent="0.2">
      <c r="A28">
        <v>5</v>
      </c>
      <c r="B28">
        <v>0</v>
      </c>
      <c r="K28">
        <v>48</v>
      </c>
    </row>
    <row r="29" spans="1:12" x14ac:dyDescent="0.2">
      <c r="A29">
        <v>0</v>
      </c>
      <c r="B29">
        <v>2</v>
      </c>
      <c r="L29">
        <v>411</v>
      </c>
    </row>
    <row r="30" spans="1:12" x14ac:dyDescent="0.2">
      <c r="A30">
        <v>1</v>
      </c>
      <c r="B30">
        <v>1</v>
      </c>
      <c r="L30">
        <v>336</v>
      </c>
    </row>
    <row r="31" spans="1:12" x14ac:dyDescent="0.2">
      <c r="A31">
        <v>2</v>
      </c>
      <c r="B31">
        <v>0</v>
      </c>
      <c r="L31">
        <v>265</v>
      </c>
    </row>
    <row r="32" spans="1:12" x14ac:dyDescent="0.2">
      <c r="A32">
        <v>3</v>
      </c>
      <c r="B32">
        <v>3</v>
      </c>
      <c r="L32">
        <v>247</v>
      </c>
    </row>
    <row r="33" spans="1:15" x14ac:dyDescent="0.2">
      <c r="A33">
        <v>4</v>
      </c>
      <c r="B33">
        <v>4</v>
      </c>
      <c r="L33">
        <v>236</v>
      </c>
    </row>
    <row r="34" spans="1:15" x14ac:dyDescent="0.2">
      <c r="A34">
        <v>0</v>
      </c>
      <c r="B34">
        <v>2</v>
      </c>
      <c r="M34">
        <v>310</v>
      </c>
    </row>
    <row r="35" spans="1:15" x14ac:dyDescent="0.2">
      <c r="A35">
        <v>1</v>
      </c>
      <c r="B35">
        <v>3</v>
      </c>
      <c r="M35">
        <v>185</v>
      </c>
    </row>
    <row r="36" spans="1:15" x14ac:dyDescent="0.2">
      <c r="A36">
        <v>2</v>
      </c>
      <c r="B36">
        <v>5</v>
      </c>
      <c r="M36">
        <v>152</v>
      </c>
    </row>
    <row r="37" spans="1:15" x14ac:dyDescent="0.2">
      <c r="A37">
        <v>3</v>
      </c>
      <c r="B37">
        <v>4</v>
      </c>
      <c r="M37">
        <v>106</v>
      </c>
    </row>
    <row r="38" spans="1:15" x14ac:dyDescent="0.2">
      <c r="A38">
        <v>4</v>
      </c>
      <c r="B38">
        <v>1</v>
      </c>
      <c r="M38">
        <v>91</v>
      </c>
    </row>
    <row r="39" spans="1:15" x14ac:dyDescent="0.2">
      <c r="A39">
        <v>5</v>
      </c>
      <c r="B39">
        <v>6</v>
      </c>
      <c r="M39">
        <v>66</v>
      </c>
    </row>
    <row r="40" spans="1:15" x14ac:dyDescent="0.2">
      <c r="A40">
        <v>6</v>
      </c>
      <c r="B40">
        <v>0</v>
      </c>
      <c r="M40">
        <v>63</v>
      </c>
    </row>
    <row r="41" spans="1:15" x14ac:dyDescent="0.2">
      <c r="A41">
        <v>0</v>
      </c>
      <c r="B41">
        <v>6</v>
      </c>
      <c r="N41">
        <v>82</v>
      </c>
    </row>
    <row r="42" spans="1:15" x14ac:dyDescent="0.2">
      <c r="A42">
        <v>1</v>
      </c>
      <c r="B42">
        <v>2</v>
      </c>
      <c r="N42">
        <v>36</v>
      </c>
    </row>
    <row r="43" spans="1:15" x14ac:dyDescent="0.2">
      <c r="A43">
        <v>2</v>
      </c>
      <c r="B43">
        <v>5</v>
      </c>
      <c r="N43">
        <v>36</v>
      </c>
    </row>
    <row r="44" spans="1:15" x14ac:dyDescent="0.2">
      <c r="A44">
        <v>3</v>
      </c>
      <c r="B44">
        <v>4</v>
      </c>
      <c r="N44">
        <v>32</v>
      </c>
    </row>
    <row r="45" spans="1:15" x14ac:dyDescent="0.2">
      <c r="A45">
        <v>4</v>
      </c>
      <c r="B45">
        <v>0</v>
      </c>
      <c r="N45">
        <v>27</v>
      </c>
    </row>
    <row r="46" spans="1:15" x14ac:dyDescent="0.2">
      <c r="A46">
        <v>5</v>
      </c>
      <c r="B46">
        <v>3</v>
      </c>
      <c r="N46">
        <v>25</v>
      </c>
    </row>
    <row r="47" spans="1:15" x14ac:dyDescent="0.2">
      <c r="A47">
        <v>6</v>
      </c>
      <c r="B47">
        <v>1</v>
      </c>
      <c r="N47">
        <v>12</v>
      </c>
    </row>
    <row r="48" spans="1:15" x14ac:dyDescent="0.2">
      <c r="A48">
        <v>0</v>
      </c>
      <c r="B48">
        <v>4</v>
      </c>
      <c r="O48">
        <v>41</v>
      </c>
    </row>
    <row r="49" spans="1:17" x14ac:dyDescent="0.2">
      <c r="A49">
        <v>1</v>
      </c>
      <c r="B49">
        <v>0</v>
      </c>
      <c r="O49">
        <v>16</v>
      </c>
    </row>
    <row r="50" spans="1:17" x14ac:dyDescent="0.2">
      <c r="A50">
        <v>2</v>
      </c>
      <c r="B50">
        <v>6</v>
      </c>
      <c r="O50">
        <v>16</v>
      </c>
    </row>
    <row r="51" spans="1:17" x14ac:dyDescent="0.2">
      <c r="A51">
        <v>3</v>
      </c>
      <c r="B51">
        <v>5</v>
      </c>
      <c r="O51">
        <v>10</v>
      </c>
    </row>
    <row r="52" spans="1:17" x14ac:dyDescent="0.2">
      <c r="A52">
        <v>4</v>
      </c>
      <c r="B52">
        <v>3</v>
      </c>
      <c r="O52">
        <v>6</v>
      </c>
    </row>
    <row r="53" spans="1:17" x14ac:dyDescent="0.2">
      <c r="A53">
        <v>5</v>
      </c>
      <c r="B53">
        <v>1</v>
      </c>
      <c r="O53">
        <v>4</v>
      </c>
    </row>
    <row r="54" spans="1:17" x14ac:dyDescent="0.2">
      <c r="A54">
        <v>6</v>
      </c>
      <c r="B54">
        <v>7</v>
      </c>
      <c r="O54">
        <v>2</v>
      </c>
    </row>
    <row r="55" spans="1:17" x14ac:dyDescent="0.2">
      <c r="A55">
        <v>7</v>
      </c>
      <c r="B55">
        <v>2</v>
      </c>
      <c r="O55">
        <v>1</v>
      </c>
    </row>
    <row r="56" spans="1:17" x14ac:dyDescent="0.2">
      <c r="A56">
        <v>0</v>
      </c>
      <c r="B56">
        <v>6</v>
      </c>
      <c r="P56">
        <v>334</v>
      </c>
    </row>
    <row r="57" spans="1:17" x14ac:dyDescent="0.2">
      <c r="A57">
        <v>1</v>
      </c>
      <c r="B57">
        <v>5</v>
      </c>
      <c r="P57">
        <v>216</v>
      </c>
    </row>
    <row r="58" spans="1:17" x14ac:dyDescent="0.2">
      <c r="A58">
        <v>2</v>
      </c>
      <c r="B58">
        <v>4</v>
      </c>
      <c r="P58">
        <v>177</v>
      </c>
    </row>
    <row r="59" spans="1:17" x14ac:dyDescent="0.2">
      <c r="A59">
        <v>3</v>
      </c>
      <c r="B59">
        <v>0</v>
      </c>
      <c r="P59">
        <v>117</v>
      </c>
    </row>
    <row r="60" spans="1:17" x14ac:dyDescent="0.2">
      <c r="A60">
        <v>4</v>
      </c>
      <c r="B60">
        <v>3</v>
      </c>
      <c r="P60">
        <v>107</v>
      </c>
    </row>
    <row r="61" spans="1:17" x14ac:dyDescent="0.2">
      <c r="A61">
        <v>5</v>
      </c>
      <c r="B61">
        <v>1</v>
      </c>
      <c r="P61">
        <v>73</v>
      </c>
    </row>
    <row r="62" spans="1:17" x14ac:dyDescent="0.2">
      <c r="A62">
        <v>6</v>
      </c>
      <c r="B62">
        <v>2</v>
      </c>
      <c r="P62">
        <v>59</v>
      </c>
    </row>
    <row r="63" spans="1:17" x14ac:dyDescent="0.2">
      <c r="A63">
        <v>0</v>
      </c>
      <c r="B63">
        <v>3</v>
      </c>
      <c r="Q63">
        <v>44</v>
      </c>
    </row>
    <row r="64" spans="1:17" x14ac:dyDescent="0.2">
      <c r="A64">
        <v>1</v>
      </c>
      <c r="B64">
        <v>4</v>
      </c>
      <c r="Q64">
        <v>29</v>
      </c>
    </row>
    <row r="65" spans="1:18" x14ac:dyDescent="0.2">
      <c r="A65">
        <v>2</v>
      </c>
      <c r="B65">
        <v>5</v>
      </c>
      <c r="Q65">
        <v>24</v>
      </c>
    </row>
    <row r="66" spans="1:18" x14ac:dyDescent="0.2">
      <c r="A66">
        <v>3</v>
      </c>
      <c r="B66">
        <v>1</v>
      </c>
      <c r="Q66">
        <v>18</v>
      </c>
    </row>
    <row r="67" spans="1:18" x14ac:dyDescent="0.2">
      <c r="A67">
        <v>4</v>
      </c>
      <c r="B67">
        <v>6</v>
      </c>
      <c r="Q67">
        <v>12</v>
      </c>
    </row>
    <row r="68" spans="1:18" x14ac:dyDescent="0.2">
      <c r="A68">
        <v>5</v>
      </c>
      <c r="B68">
        <v>0</v>
      </c>
      <c r="Q68">
        <v>6</v>
      </c>
    </row>
    <row r="69" spans="1:18" x14ac:dyDescent="0.2">
      <c r="A69">
        <v>6</v>
      </c>
      <c r="B69">
        <v>2</v>
      </c>
      <c r="Q69">
        <v>1</v>
      </c>
    </row>
    <row r="70" spans="1:18" x14ac:dyDescent="0.2">
      <c r="A70">
        <v>0</v>
      </c>
      <c r="B70">
        <v>5</v>
      </c>
      <c r="R70">
        <v>131</v>
      </c>
    </row>
    <row r="71" spans="1:18" x14ac:dyDescent="0.2">
      <c r="A71">
        <v>1</v>
      </c>
      <c r="B71">
        <v>7</v>
      </c>
      <c r="R71">
        <v>96</v>
      </c>
    </row>
    <row r="72" spans="1:18" x14ac:dyDescent="0.2">
      <c r="A72">
        <v>2</v>
      </c>
      <c r="B72">
        <v>6</v>
      </c>
      <c r="R72">
        <v>81</v>
      </c>
    </row>
    <row r="73" spans="1:18" x14ac:dyDescent="0.2">
      <c r="A73">
        <v>3</v>
      </c>
      <c r="B73">
        <v>2</v>
      </c>
      <c r="R73">
        <v>76</v>
      </c>
    </row>
    <row r="74" spans="1:18" x14ac:dyDescent="0.2">
      <c r="A74">
        <v>4</v>
      </c>
      <c r="B74">
        <v>4</v>
      </c>
      <c r="R74">
        <v>69</v>
      </c>
    </row>
    <row r="75" spans="1:18" x14ac:dyDescent="0.2">
      <c r="A75">
        <v>5</v>
      </c>
      <c r="B75">
        <v>3</v>
      </c>
      <c r="R75">
        <v>67</v>
      </c>
    </row>
    <row r="76" spans="1:18" x14ac:dyDescent="0.2">
      <c r="A76">
        <v>6</v>
      </c>
      <c r="B76">
        <v>1</v>
      </c>
      <c r="R76">
        <v>65</v>
      </c>
    </row>
    <row r="77" spans="1:18" x14ac:dyDescent="0.2">
      <c r="A77">
        <v>7</v>
      </c>
      <c r="B77">
        <v>8</v>
      </c>
      <c r="R77">
        <v>47</v>
      </c>
    </row>
    <row r="78" spans="1:18" x14ac:dyDescent="0.2">
      <c r="A78">
        <v>8</v>
      </c>
      <c r="B78">
        <v>0</v>
      </c>
      <c r="R7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for_graphic</vt:lpstr>
      <vt:lpstr>testing_standards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Hollie</dc:creator>
  <cp:lastModifiedBy>Mia Hollie</cp:lastModifiedBy>
  <dcterms:created xsi:type="dcterms:W3CDTF">2025-11-24T19:32:03Z</dcterms:created>
  <dcterms:modified xsi:type="dcterms:W3CDTF">2025-12-08T23:37:32Z</dcterms:modified>
</cp:coreProperties>
</file>